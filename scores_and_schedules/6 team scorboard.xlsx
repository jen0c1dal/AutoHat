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o\Desktop\Winter League\Scores\"/>
    </mc:Choice>
  </mc:AlternateContent>
  <xr:revisionPtr revIDLastSave="0" documentId="13_ncr:1_{08C39871-4185-43A6-8198-D48A16D0D56E}" xr6:coauthVersionLast="47" xr6:coauthVersionMax="47" xr10:uidLastSave="{00000000-0000-0000-0000-000000000000}"/>
  <bookViews>
    <workbookView xWindow="-110" yWindow="-110" windowWidth="21820" windowHeight="14020" xr2:uid="{C4AEF3C8-DC99-493B-B507-79192B523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H4" i="1"/>
  <c r="H5" i="1"/>
  <c r="P7" i="1"/>
  <c r="O7" i="1"/>
  <c r="M7" i="1"/>
  <c r="L7" i="1"/>
  <c r="P6" i="1"/>
  <c r="J6" i="1" s="1"/>
  <c r="L6" i="1"/>
  <c r="P5" i="1"/>
  <c r="N5" i="1"/>
  <c r="L5" i="1"/>
  <c r="K5" i="1"/>
  <c r="O4" i="1"/>
  <c r="N4" i="1"/>
  <c r="M4" i="1"/>
  <c r="K4" i="1"/>
  <c r="O3" i="1"/>
  <c r="J3" i="1" s="1"/>
  <c r="L3" i="1"/>
  <c r="K3" i="1"/>
  <c r="P2" i="1"/>
  <c r="O2" i="1"/>
  <c r="M2" i="1"/>
  <c r="K2" i="1"/>
  <c r="I7" i="1"/>
  <c r="H7" i="1"/>
  <c r="I6" i="1"/>
  <c r="H6" i="1"/>
  <c r="I5" i="1"/>
  <c r="I3" i="1"/>
  <c r="H3" i="1"/>
  <c r="I2" i="1"/>
  <c r="H2" i="1"/>
  <c r="N6" i="1"/>
  <c r="M6" i="1"/>
  <c r="N3" i="1"/>
  <c r="J7" i="1" l="1"/>
  <c r="J5" i="1"/>
  <c r="J4" i="1"/>
  <c r="J2" i="1"/>
</calcChain>
</file>

<file path=xl/sharedStrings.xml><?xml version="1.0" encoding="utf-8"?>
<sst xmlns="http://schemas.openxmlformats.org/spreadsheetml/2006/main" count="50" uniqueCount="25">
  <si>
    <t>Game 1</t>
  </si>
  <si>
    <t>Team 1</t>
  </si>
  <si>
    <t>Team 2</t>
  </si>
  <si>
    <t>Score</t>
  </si>
  <si>
    <t>Game 2</t>
  </si>
  <si>
    <t>Team 3</t>
  </si>
  <si>
    <t>Team 4</t>
  </si>
  <si>
    <t>Game 3</t>
  </si>
  <si>
    <t>Game 4</t>
  </si>
  <si>
    <t>Team</t>
  </si>
  <si>
    <t>Point Dif</t>
  </si>
  <si>
    <t>G2</t>
  </si>
  <si>
    <t xml:space="preserve"> G1</t>
  </si>
  <si>
    <t xml:space="preserve"> G3</t>
  </si>
  <si>
    <t xml:space="preserve"> G4</t>
  </si>
  <si>
    <t xml:space="preserve"> G5</t>
  </si>
  <si>
    <t>Win</t>
  </si>
  <si>
    <t>Loss</t>
  </si>
  <si>
    <t>Game 5</t>
  </si>
  <si>
    <t>Blue Field</t>
  </si>
  <si>
    <t>Red Field</t>
  </si>
  <si>
    <t>Team 5</t>
  </si>
  <si>
    <t>Game 6</t>
  </si>
  <si>
    <t>Team 6</t>
  </si>
  <si>
    <t>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</si>
</sst>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8B4D-6AB0-4027-A1DA-070A2C872274}">
  <dimension ref="A1:P24"/>
  <sheetViews>
    <sheetView tabSelected="1" workbookViewId="0">
      <selection activeCell="I5" sqref="I5"/>
    </sheetView>
  </sheetViews>
  <sheetFormatPr defaultRowHeight="14.5" x14ac:dyDescent="0.35"/>
  <cols>
    <col min="1" max="1" width="11.81640625" customWidth="1"/>
    <col min="9" max="9" width="10.54296875" customWidth="1"/>
  </cols>
  <sheetData>
    <row r="1" spans="1:16" x14ac:dyDescent="0.35">
      <c r="A1" s="13" t="s">
        <v>19</v>
      </c>
      <c r="B1" s="13"/>
      <c r="D1" s="13" t="s">
        <v>20</v>
      </c>
      <c r="E1" s="13"/>
      <c r="G1" s="2" t="s">
        <v>9</v>
      </c>
      <c r="H1" s="3" t="s">
        <v>16</v>
      </c>
      <c r="I1" s="3" t="s">
        <v>17</v>
      </c>
      <c r="J1" s="4" t="s">
        <v>10</v>
      </c>
      <c r="K1" s="1" t="s">
        <v>12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24</v>
      </c>
    </row>
    <row r="2" spans="1:16" x14ac:dyDescent="0.35">
      <c r="A2" s="1" t="s">
        <v>0</v>
      </c>
      <c r="B2" s="1" t="s">
        <v>3</v>
      </c>
      <c r="D2" s="1" t="s">
        <v>0</v>
      </c>
      <c r="E2" s="1" t="s">
        <v>3</v>
      </c>
      <c r="G2" s="5">
        <v>1</v>
      </c>
      <c r="H2">
        <f>IF(B3&gt;B4,1,0)+IF(E11&gt;E12,1,0)+IF(B19&gt;B20,1,0)+IF(B23&gt;B24,1,0)</f>
        <v>0</v>
      </c>
      <c r="I2">
        <f>IF(B3&lt;B4,1,0)+IF(E11&lt;E12,1,0)+IF(B19&lt;B20,1,0)+IF(B23&lt;B24,1,0)</f>
        <v>0</v>
      </c>
      <c r="J2" s="6">
        <f>SUM(K2:P2)</f>
        <v>0</v>
      </c>
      <c r="K2">
        <f>B3-B4</f>
        <v>0</v>
      </c>
      <c r="M2">
        <f>E11-E12</f>
        <v>0</v>
      </c>
      <c r="O2">
        <f>B19-B20</f>
        <v>0</v>
      </c>
      <c r="P2">
        <f>B23-B24</f>
        <v>0</v>
      </c>
    </row>
    <row r="3" spans="1:16" x14ac:dyDescent="0.35">
      <c r="A3" t="s">
        <v>1</v>
      </c>
      <c r="D3" t="s">
        <v>5</v>
      </c>
      <c r="G3" s="7">
        <v>2</v>
      </c>
      <c r="H3" s="9">
        <f>IF(B4&gt;B3,1,0)+IF(E7&gt;E8,1,0)+IF(B15&gt;B16,1,0)+IF(E19&gt;E20,1,0)</f>
        <v>0</v>
      </c>
      <c r="I3" s="9">
        <f>IF(B4&lt;B3,1,0)+IF(E7&lt;E8,1,0)+IF(B15&lt;B16,1,0)+IF(E19&lt;E20,1,0)</f>
        <v>0</v>
      </c>
      <c r="J3" s="8">
        <f t="shared" ref="J3:J7" si="0">SUM(K3:P3)</f>
        <v>0</v>
      </c>
      <c r="K3">
        <f>B4-B3</f>
        <v>0</v>
      </c>
      <c r="L3">
        <f>E7-E8</f>
        <v>0</v>
      </c>
      <c r="N3">
        <f>B15-B16</f>
        <v>0</v>
      </c>
      <c r="O3">
        <f>E19-E20</f>
        <v>0</v>
      </c>
    </row>
    <row r="4" spans="1:16" x14ac:dyDescent="0.35">
      <c r="A4" t="s">
        <v>2</v>
      </c>
      <c r="D4" t="s">
        <v>6</v>
      </c>
      <c r="G4" s="5">
        <v>3</v>
      </c>
      <c r="H4">
        <f>IF(E3&gt;E4,1,0)+IF(B11&gt;B12,1,0)+IF(E15&gt;E16,1,0)+IF(E20&gt;E19,1,0)</f>
        <v>0</v>
      </c>
      <c r="I4">
        <f>IF(E3&lt;E4,1,0)+IF(B11&lt;B12,1,0)+IF(E15&lt;E16,1,0)+IF(E20&lt;E19,1,0)</f>
        <v>0</v>
      </c>
      <c r="J4" s="6">
        <f t="shared" si="0"/>
        <v>0</v>
      </c>
      <c r="K4">
        <f>E3-E4</f>
        <v>0</v>
      </c>
      <c r="M4">
        <f>B11-B12</f>
        <v>0</v>
      </c>
      <c r="N4">
        <f>E15-E16</f>
        <v>0</v>
      </c>
      <c r="O4">
        <f>E20-E19</f>
        <v>0</v>
      </c>
    </row>
    <row r="5" spans="1:16" x14ac:dyDescent="0.35">
      <c r="G5" s="7">
        <v>4</v>
      </c>
      <c r="H5" s="9">
        <f>IF(E4&gt;E3,1,0)+IF(B7&gt;B8,1,0)+IF(B16&gt;B15,1,0)+IF(B24&gt;B23,1,0)</f>
        <v>0</v>
      </c>
      <c r="I5" s="9">
        <f>IF(E4&lt;E3,1,0)+IF(B7&lt;B8,1,0)+IF(B16&lt;B15,1,0)+IF(B24&lt;B23,1,0)</f>
        <v>0</v>
      </c>
      <c r="J5" s="8">
        <f t="shared" si="0"/>
        <v>0</v>
      </c>
      <c r="K5">
        <f>E4-E3</f>
        <v>0</v>
      </c>
      <c r="L5">
        <f>B7-B8</f>
        <v>0</v>
      </c>
      <c r="N5">
        <f>B16-B15</f>
        <v>0</v>
      </c>
      <c r="P5">
        <f>B24-B23</f>
        <v>0</v>
      </c>
    </row>
    <row r="6" spans="1:16" x14ac:dyDescent="0.35">
      <c r="A6" s="1" t="s">
        <v>4</v>
      </c>
      <c r="D6" s="1" t="s">
        <v>4</v>
      </c>
      <c r="G6" s="5">
        <v>5</v>
      </c>
      <c r="H6">
        <f>IF(E8&gt;E7,1,0)+IF(E12&gt;E11,1,0)+IF(E16&gt;E15,1,0)+IF(E23&gt;E24,1,0)</f>
        <v>0</v>
      </c>
      <c r="I6">
        <f>IF(E8&lt;E7,1,0)+IF(E12&lt;E11,1,0)+IF(E16&lt;E15,1,0)+IF(E23&lt;E24,1,0)</f>
        <v>0</v>
      </c>
      <c r="J6" s="6">
        <f t="shared" si="0"/>
        <v>0</v>
      </c>
      <c r="L6">
        <f>E8-E7</f>
        <v>0</v>
      </c>
      <c r="M6">
        <f>E12-E11</f>
        <v>0</v>
      </c>
      <c r="N6">
        <f>E16-E15</f>
        <v>0</v>
      </c>
      <c r="P6">
        <f>E23-E24</f>
        <v>0</v>
      </c>
    </row>
    <row r="7" spans="1:16" ht="15" thickBot="1" x14ac:dyDescent="0.4">
      <c r="A7" t="s">
        <v>6</v>
      </c>
      <c r="D7" t="s">
        <v>2</v>
      </c>
      <c r="G7" s="10">
        <v>6</v>
      </c>
      <c r="H7" s="11">
        <f>IF(B8&gt;B7,1,0)+IF(B12&gt;B11,1,0)+IF(B20&gt;B19,1,0)+IF(E24&gt;E23,1,0)</f>
        <v>0</v>
      </c>
      <c r="I7" s="11">
        <f>IF(B8&lt;B7,1,0)+IF(B12&lt;B11,1,0)+IF(B20&lt;B19,1,0)+IF(E24&lt;E23,1,0)</f>
        <v>0</v>
      </c>
      <c r="J7" s="12">
        <f t="shared" si="0"/>
        <v>0</v>
      </c>
      <c r="L7">
        <f>B8-B7</f>
        <v>0</v>
      </c>
      <c r="M7">
        <f>B12-B11</f>
        <v>0</v>
      </c>
      <c r="O7">
        <f>B20-B19</f>
        <v>0</v>
      </c>
      <c r="P7">
        <f>E24-E23</f>
        <v>0</v>
      </c>
    </row>
    <row r="8" spans="1:16" x14ac:dyDescent="0.35">
      <c r="A8" t="s">
        <v>23</v>
      </c>
      <c r="D8" t="s">
        <v>21</v>
      </c>
    </row>
    <row r="10" spans="1:16" x14ac:dyDescent="0.35">
      <c r="A10" s="1" t="s">
        <v>7</v>
      </c>
      <c r="D10" s="1" t="s">
        <v>7</v>
      </c>
    </row>
    <row r="11" spans="1:16" x14ac:dyDescent="0.35">
      <c r="A11" t="s">
        <v>5</v>
      </c>
      <c r="D11" t="s">
        <v>1</v>
      </c>
    </row>
    <row r="12" spans="1:16" x14ac:dyDescent="0.35">
      <c r="A12" t="s">
        <v>23</v>
      </c>
      <c r="D12" t="s">
        <v>21</v>
      </c>
    </row>
    <row r="14" spans="1:16" x14ac:dyDescent="0.35">
      <c r="A14" s="1" t="s">
        <v>8</v>
      </c>
      <c r="D14" s="1" t="s">
        <v>8</v>
      </c>
    </row>
    <row r="15" spans="1:16" x14ac:dyDescent="0.35">
      <c r="A15" t="s">
        <v>2</v>
      </c>
      <c r="D15" t="s">
        <v>5</v>
      </c>
    </row>
    <row r="16" spans="1:16" x14ac:dyDescent="0.35">
      <c r="A16" t="s">
        <v>6</v>
      </c>
      <c r="D16" t="s">
        <v>21</v>
      </c>
    </row>
    <row r="18" spans="1:4" x14ac:dyDescent="0.35">
      <c r="A18" s="1" t="s">
        <v>18</v>
      </c>
      <c r="D18" s="1" t="s">
        <v>18</v>
      </c>
    </row>
    <row r="19" spans="1:4" x14ac:dyDescent="0.35">
      <c r="A19" t="s">
        <v>1</v>
      </c>
      <c r="D19" t="s">
        <v>2</v>
      </c>
    </row>
    <row r="20" spans="1:4" x14ac:dyDescent="0.35">
      <c r="A20" t="s">
        <v>23</v>
      </c>
      <c r="D20" t="s">
        <v>5</v>
      </c>
    </row>
    <row r="22" spans="1:4" x14ac:dyDescent="0.35">
      <c r="A22" s="1" t="s">
        <v>22</v>
      </c>
      <c r="D22" s="1" t="s">
        <v>22</v>
      </c>
    </row>
    <row r="23" spans="1:4" x14ac:dyDescent="0.35">
      <c r="A23" t="s">
        <v>1</v>
      </c>
      <c r="D23" t="s">
        <v>21</v>
      </c>
    </row>
    <row r="24" spans="1:4" x14ac:dyDescent="0.35">
      <c r="A24" t="s">
        <v>6</v>
      </c>
      <c r="D24" t="s">
        <v>23</v>
      </c>
    </row>
  </sheetData>
  <mergeCells count="2">
    <mergeCell ref="A1:B1"/>
    <mergeCell ref="D1:E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 Saghi</dc:creator>
  <cp:lastModifiedBy>Jeno Saghi</cp:lastModifiedBy>
  <dcterms:created xsi:type="dcterms:W3CDTF">2025-01-19T05:14:33Z</dcterms:created>
  <dcterms:modified xsi:type="dcterms:W3CDTF">2025-04-02T07:01:37Z</dcterms:modified>
</cp:coreProperties>
</file>